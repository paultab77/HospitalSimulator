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tabpau\Documents\Visual Studio 2015\Projects\HospitalSimulator\Requirements\"/>
    </mc:Choice>
  </mc:AlternateContent>
  <bookViews>
    <workbookView xWindow="0" yWindow="0" windowWidth="25200" windowHeight="12570" firstSheet="1" activeTab="1"/>
  </bookViews>
  <sheets>
    <sheet name="Patients" sheetId="2" r:id="rId1"/>
    <sheet name="Consultations" sheetId="3" r:id="rId2"/>
    <sheet name="API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B2" i="2"/>
  <c r="A3" i="2"/>
  <c r="A4" i="2" s="1"/>
  <c r="B4" i="2" s="1"/>
  <c r="K4" i="2"/>
  <c r="K3" i="2"/>
  <c r="K2" i="2"/>
  <c r="G4" i="2"/>
  <c r="G3" i="2"/>
  <c r="G2" i="2"/>
  <c r="B3" i="2" l="1"/>
  <c r="E4" i="2"/>
  <c r="I2" i="2"/>
  <c r="I3" i="2" l="1"/>
  <c r="I4" i="2" l="1"/>
</calcChain>
</file>

<file path=xl/sharedStrings.xml><?xml version="1.0" encoding="utf-8"?>
<sst xmlns="http://schemas.openxmlformats.org/spreadsheetml/2006/main" count="87" uniqueCount="55">
  <si>
    <t>Name</t>
  </si>
  <si>
    <t>Condition</t>
  </si>
  <si>
    <t>Topography</t>
  </si>
  <si>
    <t>JSON</t>
  </si>
  <si>
    <t>Cancer</t>
  </si>
  <si>
    <t>Head &amp; Neck</t>
  </si>
  <si>
    <t>Breast</t>
  </si>
  <si>
    <t>Flu</t>
  </si>
  <si>
    <t>JSON Combined</t>
  </si>
  <si>
    <t>Prefix</t>
  </si>
  <si>
    <t>Doctors</t>
  </si>
  <si>
    <t>Roles</t>
  </si>
  <si>
    <t>John</t>
  </si>
  <si>
    <t>Anna</t>
  </si>
  <si>
    <t>Laura</t>
  </si>
  <si>
    <t>Oncologist</t>
  </si>
  <si>
    <t>General Practioner</t>
  </si>
  <si>
    <t>Oncologist, General Practioner</t>
  </si>
  <si>
    <t>Treatment Machines</t>
  </si>
  <si>
    <t>Capability</t>
  </si>
  <si>
    <t>MachineA</t>
  </si>
  <si>
    <t>MachineB</t>
  </si>
  <si>
    <t>MachineC</t>
  </si>
  <si>
    <t>Advanced</t>
  </si>
  <si>
    <t>Simple</t>
  </si>
  <si>
    <t>Treatment Rooms</t>
  </si>
  <si>
    <t>TreatmentMachine</t>
  </si>
  <si>
    <t>RoomOne</t>
  </si>
  <si>
    <t>RoomTwo</t>
  </si>
  <si>
    <t>RoomThree</t>
  </si>
  <si>
    <t>RoomFour</t>
  </si>
  <si>
    <t>RoomFive</t>
  </si>
  <si>
    <t>RegistrationDate</t>
  </si>
  <si>
    <t>Use Case 1:  Supply the following when you select Patient Registration</t>
  </si>
  <si>
    <t xml:space="preserve">API </t>
  </si>
  <si>
    <t>Examples</t>
  </si>
  <si>
    <r>
      <t>Format = Register|</t>
    </r>
    <r>
      <rPr>
        <i/>
        <sz val="11"/>
        <color theme="1"/>
        <rFont val="Calibri"/>
        <family val="2"/>
        <scheme val="minor"/>
      </rPr>
      <t>Patient</t>
    </r>
    <r>
      <rPr>
        <sz val="11"/>
        <color theme="1"/>
        <rFont val="Calibri"/>
        <family val="2"/>
        <scheme val="minor"/>
      </rPr>
      <t>|</t>
    </r>
    <r>
      <rPr>
        <i/>
        <sz val="11"/>
        <color theme="1"/>
        <rFont val="Calibri"/>
        <family val="2"/>
        <scheme val="minor"/>
      </rPr>
      <t>Condition</t>
    </r>
    <r>
      <rPr>
        <sz val="11"/>
        <color theme="1"/>
        <rFont val="Calibri"/>
        <family val="2"/>
        <scheme val="minor"/>
      </rPr>
      <t>|Topography|</t>
    </r>
    <r>
      <rPr>
        <i/>
        <sz val="11"/>
        <color theme="1"/>
        <rFont val="Calibri"/>
        <family val="2"/>
        <scheme val="minor"/>
      </rPr>
      <t>RegistrationDate</t>
    </r>
  </si>
  <si>
    <t>Register|Patient_102|Cancer|Head &amp; Neck|20180401</t>
  </si>
  <si>
    <t>Register|Patient_101|Flu||20180401</t>
  </si>
  <si>
    <t>Register|Patient_103|Cancer|Breast|20180401</t>
  </si>
  <si>
    <t>Patient</t>
  </si>
  <si>
    <t>a</t>
  </si>
  <si>
    <t>Doctor</t>
  </si>
  <si>
    <t>John (O)</t>
  </si>
  <si>
    <t>Anna (GP)</t>
  </si>
  <si>
    <t>Laura (O,GP)</t>
  </si>
  <si>
    <t>Treatment Room</t>
  </si>
  <si>
    <t>RoomThree / Treatment MachineA</t>
  </si>
  <si>
    <t>RoomFour / Treatment MachineB</t>
  </si>
  <si>
    <t>RoomFive / Treatment MachineC</t>
  </si>
  <si>
    <t>X</t>
  </si>
  <si>
    <t>b</t>
  </si>
  <si>
    <t>Cancer / 
Head &amp; Neck</t>
  </si>
  <si>
    <t>c</t>
  </si>
  <si>
    <t>Cancer / 
Breast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</si>
</sst>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quotePrefix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/>
    <xf numFmtId="0" fontId="0" fillId="0" borderId="0" xfId="0" applyAlignment="1"/>
    <xf numFmtId="0" fontId="0" fillId="0" borderId="0" xfId="0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"/>
  <sheetViews>
    <sheetView workbookViewId="0">
      <selection activeCell="I4" sqref="I4"/>
    </sheetView>
  </sheetViews>
  <sheetFormatPr defaultRowHeight="15" x14ac:dyDescent="0.25"/>
  <cols>
    <col min="2" max="2" width="8.85546875" customWidth="1"/>
    <col min="3" max="3" width="10.42578125" customWidth="1"/>
    <col min="4" max="4" width="13.5703125" customWidth="1"/>
    <col min="5" max="5" width="16.7109375" customWidth="1"/>
    <col min="6" max="6" width="3.85546875" customWidth="1"/>
    <col min="7" max="7" width="31.5703125" style="4" customWidth="1"/>
    <col min="8" max="8" width="3.28515625" customWidth="1"/>
    <col min="9" max="9" width="74.7109375" style="4" customWidth="1"/>
    <col min="10" max="10" width="4.42578125" customWidth="1"/>
    <col min="11" max="11" width="66.42578125" style="4" customWidth="1"/>
  </cols>
  <sheetData>
    <row r="1" spans="1:11" x14ac:dyDescent="0.25">
      <c r="A1" s="2" t="s">
        <v>9</v>
      </c>
      <c r="B1" s="2" t="s">
        <v>0</v>
      </c>
      <c r="C1" s="2" t="s">
        <v>1</v>
      </c>
      <c r="D1" s="2" t="s">
        <v>2</v>
      </c>
      <c r="E1" s="2" t="s">
        <v>32</v>
      </c>
      <c r="G1" s="3" t="s">
        <v>3</v>
      </c>
      <c r="I1" s="3" t="s">
        <v>8</v>
      </c>
    </row>
    <row r="2" spans="1:11" ht="60" x14ac:dyDescent="0.25">
      <c r="A2">
        <v>1</v>
      </c>
      <c r="B2" t="str">
        <f>CONCATENATE("Patient_",A2)</f>
        <v>Patient_1</v>
      </c>
      <c r="C2" t="s">
        <v>7</v>
      </c>
      <c r="E2" s="1">
        <v>20180401</v>
      </c>
      <c r="G2" s="4" t="str">
        <f>Curly(Pat(B2, C2, D2,E2))</f>
        <v>{"Name":"Patient_1", "RegistrationDate":"20180401", "Condition":{"Diagnosis":"Flu"}}</v>
      </c>
      <c r="I2" s="4" t="str">
        <f>G2</f>
        <v>{"Name":"Patient_1", "RegistrationDate":"20180401", "Condition":{"Diagnosis":"Flu"}}</v>
      </c>
      <c r="K2" s="4" t="str">
        <f>PatWrap(I2)</f>
        <v>{"Patients":[{"Name":"Patient_1", "RegistrationDate":"20180401", "Condition":{"Diagnosis":"Flu"}}]}</v>
      </c>
    </row>
    <row r="3" spans="1:11" ht="60" x14ac:dyDescent="0.25">
      <c r="A3">
        <f>A2+1</f>
        <v>2</v>
      </c>
      <c r="B3" t="str">
        <f>CONCATENATE("Patient_",A3)</f>
        <v>Patient_2</v>
      </c>
      <c r="C3" t="s">
        <v>4</v>
      </c>
      <c r="D3" t="s">
        <v>6</v>
      </c>
      <c r="E3" s="1">
        <f>E2+1</f>
        <v>20180402</v>
      </c>
      <c r="G3" s="4" t="str">
        <f>Curly(Pat(B3, C3, D3,E3))</f>
        <v>{"Name":"Patient_2", "RegistrationDate":"20180402", "Condition":{"Diagnosis":"Cancer", "Topography":"Breast"}}</v>
      </c>
      <c r="I3" s="4" t="str">
        <f xml:space="preserve"> CONCATENATE(I2, ", ", G3)</f>
        <v>{"Name":"Patient_1", "RegistrationDate":"20180401", "Condition":{"Diagnosis":"Flu"}}, {"Name":"Patient_2", "RegistrationDate":"20180402", "Condition":{"Diagnosis":"Cancer", "Topography":"Breast"}}</v>
      </c>
      <c r="K3" s="4" t="str">
        <f>PatWrap(I3)</f>
        <v>{"Patients":[{"Name":"Patient_1", "RegistrationDate":"20180401", "Condition":{"Diagnosis":"Flu"}}, {"Name":"Patient_2", "RegistrationDate":"20180402", "Condition":{"Diagnosis":"Cancer", "Topography":"Breast"}}]}</v>
      </c>
    </row>
    <row r="4" spans="1:11" ht="90" x14ac:dyDescent="0.25">
      <c r="A4">
        <f>A3+1</f>
        <v>3</v>
      </c>
      <c r="B4" t="str">
        <f>CONCATENATE("Patient_",A4)</f>
        <v>Patient_3</v>
      </c>
      <c r="C4" t="s">
        <v>4</v>
      </c>
      <c r="D4" t="s">
        <v>5</v>
      </c>
      <c r="E4" s="1">
        <f>E3+1</f>
        <v>20180403</v>
      </c>
      <c r="G4" s="4" t="str">
        <f>Curly(Pat(B4, C4, D4,E4))</f>
        <v>{"Name":"Patient_3", "RegistrationDate":"20180403", "Condition":{"Diagnosis":"Cancer", "Topography":"Head &amp; Neck"}}</v>
      </c>
      <c r="I4" s="4" t="str">
        <f xml:space="preserve"> CONCATENATE(I3, ", ", G4)</f>
        <v>{"Name":"Patient_1", "RegistrationDate":"20180401", "Condition":{"Diagnosis":"Flu"}}, {"Name":"Patient_2", "RegistrationDate":"20180402", "Condition":{"Diagnosis":"Cancer", "Topography":"Breast"}}, {"Name":"Patient_3", "RegistrationDate":"20180403", "Condition":{"Diagnosis":"Cancer", "Topography":"Head &amp; Neck"}}</v>
      </c>
      <c r="K4" s="4" t="str">
        <f>PatWrap(I4)</f>
        <v>{"Patients":[{"Name":"Patient_1", "RegistrationDate":"20180401", "Condition":{"Diagnosis":"Flu"}}, {"Name":"Patient_2", "RegistrationDate":"20180402", "Condition":{"Diagnosis":"Cancer", "Topography":"Breast"}}, {"Name":"Patient_3", "RegistrationDate":"20180403", "Condition":{"Diagnosis":"Cancer", "Topography":"Head &amp; Neck"}}]}</v>
      </c>
    </row>
  </sheetData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3"/>
  <sheetViews>
    <sheetView tabSelected="1" workbookViewId="0">
      <selection activeCell="G26" sqref="G26"/>
    </sheetView>
  </sheetViews>
  <sheetFormatPr defaultRowHeight="15" x14ac:dyDescent="0.25"/>
  <cols>
    <col min="1" max="1" width="9.28515625" customWidth="1"/>
    <col min="2" max="2" width="15" style="6" customWidth="1"/>
    <col min="3" max="3" width="9.140625" style="6"/>
    <col min="4" max="4" width="10.85546875" style="6" customWidth="1"/>
    <col min="5" max="5" width="13.140625" style="6" customWidth="1"/>
    <col min="6" max="6" width="11.85546875" style="6" customWidth="1"/>
    <col min="7" max="7" width="10.85546875" style="6" customWidth="1"/>
    <col min="8" max="8" width="13.7109375" style="6" customWidth="1"/>
    <col min="9" max="9" width="13.42578125" style="6" customWidth="1"/>
    <col min="10" max="10" width="14.5703125" style="6" customWidth="1"/>
    <col min="11" max="11" width="13" style="6" customWidth="1"/>
    <col min="12" max="12" width="11.85546875" style="6" customWidth="1"/>
    <col min="13" max="31" width="9.140625" style="6"/>
  </cols>
  <sheetData>
    <row r="1" spans="1:31" s="10" customFormat="1" x14ac:dyDescent="0.25">
      <c r="A1" s="9" t="s">
        <v>10</v>
      </c>
      <c r="D1" s="11"/>
      <c r="E1" s="11"/>
      <c r="F1" s="12" t="s">
        <v>18</v>
      </c>
      <c r="H1" s="11"/>
      <c r="I1" s="12" t="s">
        <v>25</v>
      </c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</row>
    <row r="2" spans="1:31" s="14" customFormat="1" x14ac:dyDescent="0.25">
      <c r="A2" s="13" t="s">
        <v>0</v>
      </c>
      <c r="B2" s="13" t="s">
        <v>11</v>
      </c>
      <c r="D2" s="13"/>
      <c r="E2" s="13"/>
      <c r="F2" s="13" t="s">
        <v>0</v>
      </c>
      <c r="G2" s="13" t="s">
        <v>19</v>
      </c>
      <c r="H2" s="13"/>
      <c r="I2" s="13" t="s">
        <v>0</v>
      </c>
      <c r="J2" s="13" t="s">
        <v>26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</row>
    <row r="3" spans="1:31" s="15" customFormat="1" x14ac:dyDescent="0.25">
      <c r="A3" s="15" t="s">
        <v>12</v>
      </c>
      <c r="B3" s="5" t="s">
        <v>15</v>
      </c>
      <c r="D3" s="5"/>
      <c r="E3" s="5"/>
      <c r="F3" s="5" t="s">
        <v>20</v>
      </c>
      <c r="G3" s="11" t="s">
        <v>23</v>
      </c>
      <c r="H3" s="5"/>
      <c r="I3" s="5" t="s">
        <v>27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 s="15" customFormat="1" x14ac:dyDescent="0.25">
      <c r="A4" s="5" t="s">
        <v>13</v>
      </c>
      <c r="B4" s="5" t="s">
        <v>16</v>
      </c>
      <c r="D4" s="5"/>
      <c r="E4" s="5"/>
      <c r="F4" s="5" t="s">
        <v>21</v>
      </c>
      <c r="G4" s="11" t="s">
        <v>23</v>
      </c>
      <c r="H4" s="5"/>
      <c r="I4" s="5" t="s">
        <v>28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 s="15" customFormat="1" x14ac:dyDescent="0.25">
      <c r="A5" s="5" t="s">
        <v>14</v>
      </c>
      <c r="B5" s="5" t="s">
        <v>17</v>
      </c>
      <c r="C5" s="5"/>
      <c r="D5" s="5"/>
      <c r="E5" s="5"/>
      <c r="F5" s="5" t="s">
        <v>22</v>
      </c>
      <c r="G5" s="11" t="s">
        <v>24</v>
      </c>
      <c r="H5" s="5"/>
      <c r="I5" s="5" t="s">
        <v>29</v>
      </c>
      <c r="J5" s="5" t="s">
        <v>20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 s="7" customFormat="1" x14ac:dyDescent="0.25">
      <c r="B6" s="8"/>
      <c r="C6" s="8"/>
      <c r="D6" s="8"/>
      <c r="E6" s="8"/>
      <c r="F6" s="8"/>
      <c r="G6" s="8"/>
      <c r="H6" s="8"/>
      <c r="I6" s="8" t="s">
        <v>30</v>
      </c>
      <c r="J6" s="8" t="s">
        <v>21</v>
      </c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</row>
    <row r="7" spans="1:31" s="7" customFormat="1" x14ac:dyDescent="0.25">
      <c r="B7" s="8"/>
      <c r="C7" s="8"/>
      <c r="D7" s="8"/>
      <c r="E7" s="8"/>
      <c r="F7" s="8"/>
      <c r="G7" s="8"/>
      <c r="H7" s="8"/>
      <c r="I7" s="8" t="s">
        <v>31</v>
      </c>
      <c r="J7" s="8" t="s">
        <v>22</v>
      </c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</row>
    <row r="9" spans="1:31" ht="30" x14ac:dyDescent="0.25">
      <c r="C9" s="8" t="s">
        <v>42</v>
      </c>
      <c r="F9" s="16" t="s">
        <v>46</v>
      </c>
    </row>
    <row r="10" spans="1:31" s="7" customFormat="1" ht="45" x14ac:dyDescent="0.25">
      <c r="A10" s="17" t="s">
        <v>40</v>
      </c>
      <c r="B10" s="17" t="s">
        <v>1</v>
      </c>
      <c r="C10" s="17" t="s">
        <v>43</v>
      </c>
      <c r="D10" s="17" t="s">
        <v>44</v>
      </c>
      <c r="E10" s="17" t="s">
        <v>45</v>
      </c>
      <c r="F10" s="17" t="s">
        <v>27</v>
      </c>
      <c r="G10" s="17" t="s">
        <v>28</v>
      </c>
      <c r="H10" s="18" t="s">
        <v>47</v>
      </c>
      <c r="I10" s="18" t="s">
        <v>48</v>
      </c>
      <c r="J10" s="18" t="s">
        <v>49</v>
      </c>
    </row>
    <row r="11" spans="1:31" s="7" customFormat="1" x14ac:dyDescent="0.25">
      <c r="A11" s="7" t="s">
        <v>41</v>
      </c>
      <c r="B11" s="8" t="s">
        <v>7</v>
      </c>
      <c r="C11" s="6"/>
      <c r="D11" s="6" t="s">
        <v>50</v>
      </c>
      <c r="E11" s="6" t="s">
        <v>50</v>
      </c>
      <c r="F11" s="6" t="s">
        <v>50</v>
      </c>
      <c r="G11" s="6" t="s">
        <v>50</v>
      </c>
      <c r="H11" s="6" t="s">
        <v>50</v>
      </c>
      <c r="I11" s="6" t="s">
        <v>50</v>
      </c>
      <c r="J11" s="6" t="s">
        <v>50</v>
      </c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</row>
    <row r="12" spans="1:31" s="7" customFormat="1" ht="30" x14ac:dyDescent="0.25">
      <c r="A12" s="7" t="s">
        <v>51</v>
      </c>
      <c r="B12" s="16" t="s">
        <v>52</v>
      </c>
      <c r="C12" s="6" t="s">
        <v>50</v>
      </c>
      <c r="D12" s="6"/>
      <c r="E12" s="6" t="s">
        <v>50</v>
      </c>
      <c r="F12" s="6"/>
      <c r="G12" s="6"/>
      <c r="H12" s="6" t="s">
        <v>50</v>
      </c>
      <c r="I12" s="6" t="s">
        <v>50</v>
      </c>
      <c r="J12" s="6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</row>
    <row r="13" spans="1:31" s="7" customFormat="1" ht="30" x14ac:dyDescent="0.25">
      <c r="A13" s="7" t="s">
        <v>53</v>
      </c>
      <c r="B13" s="16" t="s">
        <v>54</v>
      </c>
      <c r="C13" s="6" t="s">
        <v>50</v>
      </c>
      <c r="D13" s="6"/>
      <c r="E13" s="6" t="s">
        <v>50</v>
      </c>
      <c r="F13" s="6"/>
      <c r="G13" s="6"/>
      <c r="H13" s="6" t="s">
        <v>50</v>
      </c>
      <c r="I13" s="6" t="s">
        <v>50</v>
      </c>
      <c r="J13" s="6" t="s">
        <v>50</v>
      </c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1:31" s="7" customFormat="1" x14ac:dyDescent="0.25"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1:31" s="7" customFormat="1" x14ac:dyDescent="0.2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8" spans="1:31" s="7" customFormat="1" x14ac:dyDescent="0.25">
      <c r="A18" s="7" t="s">
        <v>33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1:31" s="7" customFormat="1" x14ac:dyDescent="0.25">
      <c r="A19" s="7" t="s">
        <v>34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0" spans="1:31" s="7" customFormat="1" x14ac:dyDescent="0.25">
      <c r="A20" s="7" t="s">
        <v>36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</row>
    <row r="21" spans="1:31" s="7" customFormat="1" x14ac:dyDescent="0.25">
      <c r="A21" s="7" t="s">
        <v>35</v>
      </c>
      <c r="B21" s="8" t="s">
        <v>38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</row>
    <row r="22" spans="1:31" s="7" customFormat="1" x14ac:dyDescent="0.25">
      <c r="B22" s="7" t="s">
        <v>37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</row>
    <row r="23" spans="1:31" x14ac:dyDescent="0.25">
      <c r="B23" s="7" t="s">
        <v>39</v>
      </c>
    </row>
  </sheetData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B8" sqref="B8"/>
    </sheetView>
  </sheetViews>
  <sheetFormatPr defaultRowHeight="15" x14ac:dyDescent="0.25"/>
  <sheetData>
    <row r="1" spans="1:6" x14ac:dyDescent="0.25">
      <c r="A1" s="7" t="s">
        <v>36</v>
      </c>
      <c r="B1" s="8"/>
      <c r="C1" s="8"/>
      <c r="D1" s="8"/>
      <c r="E1" s="8"/>
      <c r="F1" s="8"/>
    </row>
    <row r="2" spans="1:6" x14ac:dyDescent="0.25">
      <c r="A2" s="7" t="s">
        <v>35</v>
      </c>
      <c r="B2" s="8" t="s">
        <v>38</v>
      </c>
      <c r="C2" s="8"/>
      <c r="D2" s="8"/>
      <c r="E2" s="8"/>
      <c r="F2" s="8"/>
    </row>
    <row r="3" spans="1:6" x14ac:dyDescent="0.25">
      <c r="A3" s="7"/>
      <c r="B3" s="7" t="s">
        <v>37</v>
      </c>
      <c r="C3" s="8"/>
      <c r="D3" s="8"/>
      <c r="E3" s="8"/>
      <c r="F3" s="8"/>
    </row>
    <row r="4" spans="1:6" x14ac:dyDescent="0.25">
      <c r="B4" s="7" t="s">
        <v>39</v>
      </c>
      <c r="C4" s="6"/>
      <c r="D4" s="6"/>
      <c r="E4" s="6"/>
      <c r="F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Patients</vt:lpstr>
      <vt:lpstr>Consultations</vt:lpstr>
      <vt:lpstr>API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Tabellion</dc:creator>
  <cp:lastModifiedBy>Paul Tabellion</cp:lastModifiedBy>
  <dcterms:created xsi:type="dcterms:W3CDTF">2018-03-09T16:30:55Z</dcterms:created>
  <dcterms:modified xsi:type="dcterms:W3CDTF">2018-04-25T18:46:50Z</dcterms:modified>
</cp:coreProperties>
</file>